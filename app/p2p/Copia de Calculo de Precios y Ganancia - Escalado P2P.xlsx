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 Rentabilidad" sheetId="1" r:id="rId4"/>
    <sheet state="visible" name="Calculadora de Precios de Compr" sheetId="2" r:id="rId5"/>
  </sheets>
  <definedNames>
    <definedName name="Cliente25">#REF!</definedName>
    <definedName name="Clientes27">#REF!</definedName>
    <definedName name="tasa">#REF!</definedName>
    <definedName name="compraventa">#REF!</definedName>
    <definedName name="cliente">#REF!</definedName>
    <definedName name="cliente31">#REF!</definedName>
  </definedNames>
  <calcPr/>
</workbook>
</file>

<file path=xl/sharedStrings.xml><?xml version="1.0" encoding="utf-8"?>
<sst xmlns="http://schemas.openxmlformats.org/spreadsheetml/2006/main" count="21" uniqueCount="21">
  <si>
    <t>CAPITAL</t>
  </si>
  <si>
    <t>COMISION</t>
  </si>
  <si>
    <t>CALCULO DE OPERATIVA</t>
  </si>
  <si>
    <t>Venta Lote Completo</t>
  </si>
  <si>
    <t>Compra de X USDT</t>
  </si>
  <si>
    <t>GANANCIA</t>
  </si>
  <si>
    <t xml:space="preserve">TASA </t>
  </si>
  <si>
    <t>MONTO</t>
  </si>
  <si>
    <t>CICLOS AL DIA</t>
  </si>
  <si>
    <t>METODOS DE PAGO</t>
  </si>
  <si>
    <t>Tasa Minima</t>
  </si>
  <si>
    <t>Ganancia al Mes</t>
  </si>
  <si>
    <t>Ganancia por ciclo</t>
  </si>
  <si>
    <t>Ganancia Total</t>
  </si>
  <si>
    <t>.                                  CALCULADORA DE PRECIOS COMPRA P2P</t>
  </si>
  <si>
    <t>PRECIO DE VENTA</t>
  </si>
  <si>
    <t>COMISION P2P</t>
  </si>
  <si>
    <t>PRECIOS DE COMPRA</t>
  </si>
  <si>
    <t>% GANANCIA</t>
  </si>
  <si>
    <t>Breakeven</t>
  </si>
  <si>
    <t>% Personalizado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</si>
</sst>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.00_-;_-&quot;$&quot;* \-#,##0.00_-;_-&quot;$&quot;* &quot;-&quot;??_-;_-@"/>
    <numFmt numFmtId="165" formatCode="#,##0.000"/>
    <numFmt numFmtId="166" formatCode="0.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vertical="bottom"/>
    </xf>
    <xf borderId="0" fillId="2" fontId="1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3" fontId="3" numFmtId="0" xfId="0" applyAlignment="1" applyFont="1">
      <alignment horizontal="right" readingOrder="0" vertical="center"/>
    </xf>
    <xf borderId="1" fillId="4" fontId="2" numFmtId="164" xfId="0" applyAlignment="1" applyBorder="1" applyFill="1" applyFont="1" applyNumberFormat="1">
      <alignment horizontal="right" readingOrder="0" vertical="center"/>
    </xf>
    <xf borderId="0" fillId="3" fontId="3" numFmtId="0" xfId="0" applyAlignment="1" applyFont="1">
      <alignment horizontal="right" readingOrder="0" shrinkToFit="0" vertical="center" wrapText="1"/>
    </xf>
    <xf borderId="1" fillId="0" fontId="1" numFmtId="10" xfId="0" applyAlignment="1" applyBorder="1" applyFont="1" applyNumberFormat="1">
      <alignment readingOrder="0" vertical="center"/>
    </xf>
    <xf borderId="0" fillId="2" fontId="1" numFmtId="0" xfId="0" applyAlignment="1" applyFont="1">
      <alignment readingOrder="0"/>
    </xf>
    <xf borderId="0" fillId="5" fontId="4" numFmtId="0" xfId="0" applyAlignment="1" applyFill="1" applyFont="1">
      <alignment horizontal="center"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5" fontId="3" numFmtId="0" xfId="0" applyAlignment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7" fontId="2" numFmtId="10" xfId="0" applyAlignment="1" applyBorder="1" applyFill="1" applyFont="1" applyNumberFormat="1">
      <alignment vertical="bottom"/>
    </xf>
    <xf borderId="1" fillId="7" fontId="2" numFmtId="4" xfId="0" applyAlignment="1" applyBorder="1" applyFont="1" applyNumberFormat="1">
      <alignment vertical="bottom"/>
    </xf>
    <xf borderId="0" fillId="6" fontId="2" numFmtId="4" xfId="0" applyAlignment="1" applyFont="1" applyNumberFormat="1">
      <alignment vertical="bottom"/>
    </xf>
    <xf borderId="1" fillId="7" fontId="2" numFmtId="165" xfId="0" applyAlignment="1" applyBorder="1" applyFont="1" applyNumberFormat="1">
      <alignment vertical="bottom"/>
    </xf>
    <xf borderId="0" fillId="6" fontId="3" numFmtId="4" xfId="0" applyAlignment="1" applyFont="1" applyNumberFormat="1">
      <alignment horizontal="center" readingOrder="0" vertical="center"/>
    </xf>
    <xf borderId="2" fillId="7" fontId="3" numFmtId="164" xfId="0" applyAlignment="1" applyBorder="1" applyFont="1" applyNumberFormat="1">
      <alignment horizontal="center" vertical="center"/>
    </xf>
    <xf borderId="1" fillId="7" fontId="2" numFmtId="164" xfId="0" applyAlignment="1" applyBorder="1" applyFont="1" applyNumberFormat="1">
      <alignment vertical="bottom"/>
    </xf>
    <xf borderId="3" fillId="0" fontId="5" numFmtId="0" xfId="0" applyBorder="1" applyFont="1"/>
    <xf borderId="4" fillId="0" fontId="5" numFmtId="0" xfId="0" applyBorder="1" applyFont="1"/>
    <xf borderId="0" fillId="3" fontId="2" numFmtId="4" xfId="0" applyFont="1" applyNumberFormat="1"/>
    <xf borderId="0" fillId="2" fontId="2" numFmtId="0" xfId="0" applyAlignment="1" applyFont="1">
      <alignment vertical="bottom"/>
    </xf>
    <xf borderId="0" fillId="8" fontId="6" numFmtId="0" xfId="0" applyAlignment="1" applyFill="1" applyFont="1">
      <alignment horizontal="right" shrinkToFit="0" wrapText="1"/>
    </xf>
    <xf borderId="0" fillId="6" fontId="3" numFmtId="0" xfId="0" applyAlignment="1" applyFont="1">
      <alignment vertical="bottom"/>
    </xf>
    <xf borderId="1" fillId="0" fontId="2" numFmtId="166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right" readingOrder="0" vertical="bottom"/>
    </xf>
    <xf borderId="0" fillId="3" fontId="2" numFmtId="2" xfId="0" applyAlignment="1" applyFont="1" applyNumberFormat="1">
      <alignment vertical="bottom"/>
    </xf>
    <xf borderId="1" fillId="0" fontId="2" numFmtId="166" xfId="0" applyAlignment="1" applyBorder="1" applyFont="1" applyNumberFormat="1">
      <alignment horizontal="center" vertical="bottom"/>
    </xf>
    <xf borderId="1" fillId="0" fontId="2" numFmtId="4" xfId="0" applyAlignment="1" applyBorder="1" applyFont="1" applyNumberFormat="1">
      <alignment vertical="bottom"/>
    </xf>
    <xf borderId="0" fillId="3" fontId="2" numFmtId="4" xfId="0" applyAlignment="1" applyFont="1" applyNumberForma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66675</xdr:rowOff>
    </xdr:from>
    <xdr:ext cx="981075" cy="981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0</xdr:rowOff>
    </xdr:from>
    <xdr:ext cx="733425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3.5"/>
    <col customWidth="1" min="3" max="3" width="16.13"/>
    <col customWidth="1" min="4" max="4" width="17.25"/>
    <col customWidth="1" min="5" max="5" width="17.38"/>
    <col customWidth="1" min="7" max="7" width="3.63"/>
  </cols>
  <sheetData>
    <row r="1">
      <c r="A1" s="1"/>
      <c r="B1" s="2"/>
      <c r="C1" s="2"/>
      <c r="D1" s="2"/>
      <c r="E1" s="2"/>
      <c r="F1" s="2"/>
      <c r="G1" s="2"/>
    </row>
    <row r="2" ht="25.5" customHeight="1">
      <c r="A2" s="3"/>
      <c r="B2" s="4"/>
      <c r="C2" s="5" t="s">
        <v>0</v>
      </c>
      <c r="D2" s="6">
        <v>300.0</v>
      </c>
      <c r="E2" s="7" t="s">
        <v>1</v>
      </c>
      <c r="F2" s="8">
        <v>0.002</v>
      </c>
      <c r="G2" s="4"/>
    </row>
    <row r="3">
      <c r="A3" s="9"/>
      <c r="B3" s="2"/>
      <c r="C3" s="2"/>
      <c r="D3" s="2"/>
      <c r="E3" s="2"/>
      <c r="F3" s="2"/>
      <c r="G3" s="2"/>
    </row>
    <row r="4">
      <c r="A4" s="9"/>
      <c r="B4" s="10" t="s">
        <v>2</v>
      </c>
    </row>
    <row r="5">
      <c r="A5" s="9"/>
      <c r="B5" s="2"/>
      <c r="C5" s="2"/>
      <c r="D5" s="2"/>
      <c r="E5" s="2"/>
      <c r="F5" s="2"/>
      <c r="G5" s="2"/>
    </row>
    <row r="6">
      <c r="A6" s="9"/>
      <c r="B6" s="11"/>
      <c r="C6" s="12"/>
      <c r="D6" s="13" t="s">
        <v>3</v>
      </c>
      <c r="E6" s="13" t="s">
        <v>4</v>
      </c>
      <c r="F6" s="13" t="s">
        <v>5</v>
      </c>
      <c r="G6" s="11"/>
    </row>
    <row r="7">
      <c r="A7" s="9"/>
      <c r="B7" s="2"/>
      <c r="C7" s="14" t="s">
        <v>6</v>
      </c>
      <c r="D7" s="15">
        <v>480.0</v>
      </c>
      <c r="E7" s="15">
        <v>455.0</v>
      </c>
      <c r="F7" s="16">
        <f>(((E8*100)/$D$2)-100)/100</f>
        <v>0.05072949451</v>
      </c>
      <c r="G7" s="2"/>
    </row>
    <row r="8">
      <c r="A8" s="9"/>
      <c r="B8" s="2"/>
      <c r="C8" s="14" t="s">
        <v>7</v>
      </c>
      <c r="D8" s="17">
        <f>((D7*$D$2)-(D7*$D$2)*F2)</f>
        <v>143712</v>
      </c>
      <c r="E8" s="17">
        <f>(D8/E7)-(((D8/E7)*F2))</f>
        <v>315.2188484</v>
      </c>
      <c r="F8" s="2"/>
      <c r="G8" s="2"/>
    </row>
    <row r="9">
      <c r="A9" s="9"/>
      <c r="B9" s="2"/>
      <c r="C9" s="14" t="s">
        <v>8</v>
      </c>
      <c r="D9" s="12">
        <v>1.0</v>
      </c>
      <c r="E9" s="14" t="s">
        <v>9</v>
      </c>
      <c r="F9" s="15">
        <v>1.0</v>
      </c>
      <c r="G9" s="2"/>
    </row>
    <row r="10">
      <c r="A10" s="1"/>
      <c r="B10" s="2"/>
      <c r="C10" s="2"/>
      <c r="D10" s="2"/>
      <c r="E10" s="12"/>
      <c r="F10" s="12"/>
      <c r="G10" s="2"/>
    </row>
    <row r="11">
      <c r="A11" s="1"/>
      <c r="B11" s="2"/>
      <c r="C11" s="18" t="s">
        <v>10</v>
      </c>
      <c r="D11" s="19">
        <f>(D7-D7*F2)-(D7*F2)</f>
        <v>478.08</v>
      </c>
      <c r="E11" s="20" t="s">
        <v>11</v>
      </c>
      <c r="F11" s="21">
        <f>D13*30</f>
        <v>456.5654505</v>
      </c>
      <c r="G11" s="2"/>
    </row>
    <row r="12">
      <c r="A12" s="1"/>
      <c r="B12" s="2"/>
      <c r="C12" s="18" t="s">
        <v>12</v>
      </c>
      <c r="D12" s="22">
        <f>(($D$2*F7)*F9)</f>
        <v>15.21884835</v>
      </c>
      <c r="F12" s="23"/>
      <c r="G12" s="2"/>
    </row>
    <row r="13">
      <c r="A13" s="1"/>
      <c r="B13" s="2"/>
      <c r="C13" s="18" t="s">
        <v>13</v>
      </c>
      <c r="D13" s="22">
        <f>(F7*D9*$D$2)*F9</f>
        <v>15.21884835</v>
      </c>
      <c r="F13" s="24"/>
      <c r="G13" s="2"/>
    </row>
    <row r="14">
      <c r="A14" s="1"/>
      <c r="B14" s="2"/>
      <c r="C14" s="25"/>
      <c r="D14" s="25"/>
      <c r="E14" s="25"/>
      <c r="F14" s="12"/>
      <c r="G14" s="2"/>
    </row>
  </sheetData>
  <mergeCells count="3">
    <mergeCell ref="B4:G4"/>
    <mergeCell ref="E11:E13"/>
    <mergeCell ref="F11:F13"/>
  </mergeCells>
  <dataValidations>
    <dataValidation type="list" allowBlank="1" showErrorMessage="1" sqref="D9">
      <formula1>"1,2,3,4,5,6"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.38"/>
    <col customWidth="1" min="3" max="3" width="19.5"/>
    <col customWidth="1" min="4" max="4" width="4.63"/>
    <col customWidth="1" min="5" max="5" width="14.25"/>
    <col customWidth="1" min="6" max="6" width="4.38"/>
    <col hidden="1" min="7" max="26" width="12.63"/>
  </cols>
  <sheetData>
    <row r="1">
      <c r="A1" s="26"/>
      <c r="B1" s="2"/>
      <c r="C1" s="2"/>
      <c r="D1" s="2"/>
      <c r="E1" s="2"/>
      <c r="F1" s="2"/>
    </row>
    <row r="2">
      <c r="A2" s="26"/>
      <c r="B2" s="2"/>
      <c r="C2" s="27" t="s">
        <v>14</v>
      </c>
      <c r="F2" s="2"/>
    </row>
    <row r="3">
      <c r="A3" s="26"/>
      <c r="B3" s="2"/>
      <c r="C3" s="2"/>
      <c r="D3" s="2"/>
      <c r="E3" s="2"/>
      <c r="F3" s="2"/>
    </row>
    <row r="4">
      <c r="A4" s="26"/>
      <c r="B4" s="2"/>
      <c r="C4" s="28" t="s">
        <v>15</v>
      </c>
      <c r="D4" s="2"/>
      <c r="E4" s="28" t="s">
        <v>16</v>
      </c>
      <c r="F4" s="2"/>
    </row>
    <row r="5">
      <c r="A5" s="26"/>
      <c r="B5" s="2"/>
      <c r="C5" s="29">
        <f>'Calculo Rentabilidad'!D7</f>
        <v>480</v>
      </c>
      <c r="D5" s="2"/>
      <c r="E5" s="30">
        <v>0.2</v>
      </c>
      <c r="F5" s="2"/>
    </row>
    <row r="6">
      <c r="A6" s="26"/>
      <c r="B6" s="2"/>
      <c r="C6" s="2"/>
      <c r="D6" s="2"/>
      <c r="E6" s="2"/>
      <c r="F6" s="2"/>
    </row>
    <row r="7">
      <c r="A7" s="26"/>
      <c r="B7" s="2"/>
      <c r="C7" s="28" t="s">
        <v>17</v>
      </c>
      <c r="D7" s="2"/>
      <c r="E7" s="28" t="s">
        <v>18</v>
      </c>
      <c r="F7" s="2"/>
    </row>
    <row r="8">
      <c r="A8" s="26"/>
      <c r="B8" s="31"/>
      <c r="C8" s="32">
        <f>C5*(1-E5/100)*(1-E5/100)</f>
        <v>478.08192</v>
      </c>
      <c r="D8" s="2"/>
      <c r="E8" s="33" t="s">
        <v>19</v>
      </c>
      <c r="F8" s="34"/>
    </row>
    <row r="9">
      <c r="A9" s="26"/>
      <c r="B9" s="31"/>
      <c r="C9" s="32">
        <f>C5/(1+E9/100)*((1-E5/100)*(1-E5/100))</f>
        <v>477.1276647</v>
      </c>
      <c r="D9" s="2"/>
      <c r="E9" s="35">
        <v>0.2</v>
      </c>
      <c r="F9" s="2"/>
    </row>
    <row r="10">
      <c r="A10" s="26"/>
      <c r="B10" s="31"/>
      <c r="C10" s="32">
        <f>C5/(1+E10/100)*((1-E5/100)*(1-E5/100))</f>
        <v>475.703403</v>
      </c>
      <c r="D10" s="2"/>
      <c r="E10" s="35">
        <v>0.5</v>
      </c>
      <c r="F10" s="2"/>
    </row>
    <row r="11">
      <c r="A11" s="26"/>
      <c r="B11" s="31"/>
      <c r="C11" s="32">
        <f>C5/(1+E11/100)*((1-E5/100)*(1-E5/100))</f>
        <v>473.3484356</v>
      </c>
      <c r="D11" s="2"/>
      <c r="E11" s="35">
        <v>1.0</v>
      </c>
      <c r="F11" s="2"/>
    </row>
    <row r="12">
      <c r="A12" s="26"/>
      <c r="B12" s="2"/>
      <c r="C12" s="2"/>
      <c r="D12" s="2"/>
      <c r="E12" s="28" t="s">
        <v>20</v>
      </c>
      <c r="F12" s="2"/>
    </row>
    <row r="13">
      <c r="A13" s="26"/>
      <c r="B13" s="31"/>
      <c r="C13" s="32">
        <f>C5/(1+E13/100)*((1-E5/100)*(1-E5/100))</f>
        <v>473.4421866</v>
      </c>
      <c r="D13" s="2"/>
      <c r="E13" s="30">
        <v>0.98</v>
      </c>
      <c r="F13" s="2"/>
    </row>
    <row r="14">
      <c r="A14" s="26"/>
      <c r="B14" s="2"/>
      <c r="C14" s="2"/>
      <c r="D14" s="2"/>
      <c r="E14" s="2"/>
      <c r="F14" s="2"/>
    </row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1">
    <mergeCell ref="C2:E2"/>
  </mergeCells>
  <drawing r:id="rId1"/>
</worksheet>
</file>